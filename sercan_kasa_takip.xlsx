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Entries" sheetId="1" state="visible" r:id="rId1"/>
    <sheet xmlns:r="http://schemas.openxmlformats.org/officeDocument/2006/relationships" name="Ayarlar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Tarih</t>
        </is>
      </c>
      <c r="B1" s="1" t="inlineStr">
        <is>
          <t>İçerik</t>
        </is>
      </c>
      <c r="C1" s="1" t="inlineStr">
        <is>
          <t>Stake</t>
        </is>
      </c>
      <c r="D1" s="1" t="inlineStr">
        <is>
          <t>Birim</t>
        </is>
      </c>
      <c r="E1" s="1" t="inlineStr">
        <is>
          <t>TL</t>
        </is>
      </c>
      <c r="F1" s="1" t="inlineStr">
        <is>
          <t>Oran</t>
        </is>
      </c>
      <c r="G1" s="1" t="inlineStr">
        <is>
          <t>Beklenen Sonuç (Brüt)</t>
        </is>
      </c>
      <c r="H1" s="1" t="inlineStr">
        <is>
          <t>Sonuç</t>
        </is>
      </c>
      <c r="I1" s="1" t="inlineStr">
        <is>
          <t>Net TL</t>
        </is>
      </c>
      <c r="J1" s="1" t="inlineStr">
        <is>
          <t>Maçlar</t>
        </is>
      </c>
    </row>
    <row r="2">
      <c r="A2" t="inlineStr">
        <is>
          <t>2025-12-05</t>
        </is>
      </c>
      <c r="B2" t="inlineStr">
        <is>
          <t>Tek Roll</t>
        </is>
      </c>
      <c r="C2" t="inlineStr">
        <is>
          <t>0.05x</t>
        </is>
      </c>
      <c r="D2" t="n">
        <v>5</v>
      </c>
      <c r="E2">
        <f>D2*Ayarlar!$B$4</f>
        <v/>
      </c>
      <c r="F2" t="n">
        <v>1.55</v>
      </c>
      <c r="G2">
        <f>E2*F2</f>
        <v/>
      </c>
      <c r="H2" t="inlineStr">
        <is>
          <t>Bekliyor</t>
        </is>
      </c>
      <c r="I2">
        <f>IF(H2="Tuttu",G2-E2,IF(H2="Yattı",-E2,0))</f>
        <v/>
      </c>
      <c r="J2" t="inlineStr">
        <is>
          <t>Mainz–Gladbach (0:2), GS–Samsun Ü1.5, Düsseldorf–Schalke Alt</t>
        </is>
      </c>
    </row>
    <row r="3">
      <c r="A3" t="inlineStr">
        <is>
          <t>2025-12-05</t>
        </is>
      </c>
      <c r="B3" t="inlineStr">
        <is>
          <t>Atilla Spesiyal</t>
        </is>
      </c>
      <c r="C3" t="inlineStr">
        <is>
          <t>0.02x</t>
        </is>
      </c>
      <c r="D3" t="n">
        <v>2</v>
      </c>
      <c r="E3">
        <f>D3*Ayarlar!$B$4</f>
        <v/>
      </c>
      <c r="F3" t="n">
        <v>2.9</v>
      </c>
      <c r="G3">
        <f>E3*F3</f>
        <v/>
      </c>
      <c r="H3" t="inlineStr">
        <is>
          <t>Bekliyor</t>
        </is>
      </c>
      <c r="I3">
        <f>IF(H3="Tuttu",G3-E3,IF(H3="Yattı",-E3,0))</f>
        <v/>
      </c>
      <c r="J3" t="inlineStr">
        <is>
          <t>GS–Samsun Ü0.5, Mainz–Gladbach H(0:1):2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Toplam Başlangıç Kasa</t>
        </is>
      </c>
      <c r="B1" t="n">
        <v>63000</v>
      </c>
    </row>
    <row r="2">
      <c r="A2" s="2" t="inlineStr">
        <is>
          <t>Tek Roll Yüzde</t>
        </is>
      </c>
      <c r="B2" t="n">
        <v>0.5</v>
      </c>
    </row>
    <row r="3">
      <c r="A3" s="2" t="inlineStr">
        <is>
          <t>Diğer Yüzde</t>
        </is>
      </c>
      <c r="B3" t="n">
        <v>0.5</v>
      </c>
    </row>
    <row r="4">
      <c r="A4" s="2" t="inlineStr">
        <is>
          <t>1 Birim (TL)</t>
        </is>
      </c>
      <c r="B4">
        <f>B1/100</f>
        <v/>
      </c>
    </row>
    <row r="6">
      <c r="A6" s="2" t="inlineStr">
        <is>
          <t>Başlangıç Tek Roll Kasa</t>
        </is>
      </c>
      <c r="B6">
        <f>B1*B2</f>
        <v/>
      </c>
    </row>
    <row r="7">
      <c r="A7" s="2" t="inlineStr">
        <is>
          <t>Başlangıç Diğer Kasa</t>
        </is>
      </c>
      <c r="B7">
        <f>B1*B3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2" t="inlineStr">
        <is>
          <t>Seçili Tarih</t>
        </is>
      </c>
      <c r="B1" s="3" t="inlineStr">
        <is>
          <t>2025-12-05</t>
        </is>
      </c>
    </row>
    <row r="3">
      <c r="A3" s="2" t="inlineStr">
        <is>
          <t>Başlangıç Tek Roll Kasa</t>
        </is>
      </c>
      <c r="B3">
        <f>Ayarlar!B6</f>
        <v/>
      </c>
    </row>
    <row r="4">
      <c r="A4" s="2" t="inlineStr">
        <is>
          <t>Başlangıç Diğer Kasa</t>
        </is>
      </c>
      <c r="B4">
        <f>Ayarlar!B7</f>
        <v/>
      </c>
    </row>
    <row r="5">
      <c r="A5" s="2" t="n"/>
    </row>
    <row r="6">
      <c r="A6" s="2" t="inlineStr">
        <is>
          <t>Tek Roll Bekleyen Stake (TL)</t>
        </is>
      </c>
      <c r="B6">
        <f>SUMIFS(DailyEntries!$E:$E,DailyEntries!$A:$A,"&lt;="&amp;$B$1,DailyEntries!$B:$B,"Tek Roll",DailyEntries!$H:$H,"Bekliyor")</f>
        <v/>
      </c>
    </row>
    <row r="7">
      <c r="A7" s="2" t="inlineStr">
        <is>
          <t>Tek Roll Net (Sonuçlanmış)</t>
        </is>
      </c>
      <c r="B7">
        <f>SUMIFS(DailyEntries!$I:$I,DailyEntries!$A:$A,"&lt;="&amp;$B$1,DailyEntries!$B:$B,"Tek Roll",DailyEntries!$H:$H,"&lt;&gt;Bekliyor")</f>
        <v/>
      </c>
    </row>
    <row r="8">
      <c r="A8" s="2" t="inlineStr">
        <is>
          <t>Tek Roll Reel Kasa</t>
        </is>
      </c>
      <c r="B8">
        <f>B3+B7-B6</f>
        <v/>
      </c>
    </row>
    <row r="9">
      <c r="A9" s="2" t="inlineStr">
        <is>
          <t>Tek Roll Bekleyen Brüt Dönüş</t>
        </is>
      </c>
      <c r="B9">
        <f>SUMIFS(DailyEntries!$G:$G,DailyEntries!$A:$A,"&lt;="&amp;$B$1,DailyEntries!$B:$B,"Tek Roll",DailyEntries!$H:$H,"Bekliyor")</f>
        <v/>
      </c>
    </row>
    <row r="10">
      <c r="A10" s="2" t="inlineStr">
        <is>
          <t>Tek Roll Teorik Maks Kasa</t>
        </is>
      </c>
      <c r="B10">
        <f>B8+B9</f>
        <v/>
      </c>
    </row>
    <row r="11">
      <c r="A11" s="2" t="n"/>
    </row>
    <row r="12">
      <c r="A12" s="2" t="inlineStr">
        <is>
          <t>Diğer Bekleyen Stake (TL)</t>
        </is>
      </c>
      <c r="B12">
        <f>SUMIFS(DailyEntries!$E:$E,DailyEntries!$A:$A,"&lt;="&amp;$B$1,DailyEntries!$B:$B,"&lt;&gt;Tek Roll",DailyEntries!$H:$H,"Bekliyor")</f>
        <v/>
      </c>
    </row>
    <row r="13">
      <c r="A13" s="2" t="inlineStr">
        <is>
          <t>Diğer Net (Sonuçlanmış)</t>
        </is>
      </c>
      <c r="B13">
        <f>SUMIFS(DailyEntries!$I:$I,DailyEntries!$A:$A,"&lt;="&amp;$B$1,DailyEntries!$B:$B,"&lt;&gt;Tek Roll",DailyEntries!$H:$H,"&lt;&gt;Bekliyor")</f>
        <v/>
      </c>
    </row>
    <row r="14">
      <c r="A14" s="2" t="inlineStr">
        <is>
          <t>Diğer Reel Kasa</t>
        </is>
      </c>
      <c r="B14">
        <f>B4+B13-B12</f>
        <v/>
      </c>
    </row>
    <row r="15">
      <c r="A15" s="2" t="inlineStr">
        <is>
          <t>Diğer Bekleyen Brüt Dönüş</t>
        </is>
      </c>
      <c r="B15">
        <f>SUMIFS(DailyEntries!$G:$G,DailyEntries!$A:$A,"&lt;="&amp;$B$1,DailyEntries!$B:$B,"&lt;&gt;Tek Roll",DailyEntries!$H:$H,"Bekliyor")</f>
        <v/>
      </c>
    </row>
    <row r="16">
      <c r="A16" s="2" t="inlineStr">
        <is>
          <t>Diğer Teorik Maks Kasa</t>
        </is>
      </c>
      <c r="B16">
        <f>B14+B15</f>
        <v/>
      </c>
    </row>
    <row r="17">
      <c r="A17" s="2" t="n"/>
    </row>
    <row r="18">
      <c r="A18" s="2" t="inlineStr">
        <is>
          <t>Toplam Reel Kasa</t>
        </is>
      </c>
      <c r="B18">
        <f>B8+B14</f>
        <v/>
      </c>
    </row>
    <row r="19">
      <c r="A19" s="2" t="inlineStr">
        <is>
          <t>Toplam Bekleyen Stake</t>
        </is>
      </c>
      <c r="B19">
        <f>B6+B12</f>
        <v/>
      </c>
    </row>
    <row r="20">
      <c r="A20" s="2" t="inlineStr">
        <is>
          <t>Toplam Bekleyen Brüt Dönüş</t>
        </is>
      </c>
      <c r="B20">
        <f>B9+B15</f>
        <v/>
      </c>
    </row>
    <row r="21">
      <c r="A21" s="2" t="inlineStr">
        <is>
          <t>Toplam Teorik Maks Kasa</t>
        </is>
      </c>
      <c r="B21">
        <f>B10+B16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2025-12-05T08:00:44Z</dcterms:created>
  <dcterms:modified xmlns:dcterms="http://purl.org/dc/terms/" xmlns:xsi="http://www.w3.org/2001/XMLSchema-instance" xsi:type="dcterms:W3CDTF">2025-12-05T08:00:44Z</dcterms:modified>
</cp:coreProperties>
</file>